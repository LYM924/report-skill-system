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cy1/Desktop/ClaudeProject/其他资料/"/>
    </mc:Choice>
  </mc:AlternateContent>
  <xr:revisionPtr revIDLastSave="0" documentId="10_ncr:8100000_{80557ABE-9AAD-B943-B3FD-C901B4742E17}" xr6:coauthVersionLast="34" xr6:coauthVersionMax="34" xr10:uidLastSave="{00000000-0000-0000-0000-000000000000}"/>
  <bookViews>
    <workbookView xWindow="560" yWindow="500" windowWidth="28240" windowHeight="15700" xr2:uid="{752BAC88-3D22-6345-9E5D-6A586CA68B77}"/>
  </bookViews>
  <sheets>
    <sheet name="Sheet8" sheetId="4" r:id="rId1"/>
  </sheets>
  <calcPr calcId="162913"/>
</workbook>
</file>

<file path=xl/calcChain.xml><?xml version="1.0" encoding="utf-8"?>
<calcChain xmlns="http://schemas.openxmlformats.org/spreadsheetml/2006/main">
  <c r="F43" i="4" l="1"/>
  <c r="F42" i="4"/>
  <c r="G41" i="4"/>
  <c r="F41" i="4"/>
  <c r="G40" i="4"/>
  <c r="F40" i="4"/>
  <c r="G39" i="4"/>
  <c r="F39" i="4"/>
  <c r="G38" i="4"/>
  <c r="F38" i="4"/>
  <c r="E37" i="4"/>
  <c r="G37" i="4" s="1"/>
  <c r="D37" i="4"/>
  <c r="F37" i="4" s="1"/>
  <c r="G36" i="4"/>
  <c r="F36" i="4"/>
  <c r="G35" i="4"/>
  <c r="F35" i="4"/>
  <c r="G34" i="4"/>
  <c r="F34" i="4"/>
  <c r="G33" i="4"/>
  <c r="F33" i="4"/>
  <c r="G32" i="4"/>
  <c r="F32" i="4"/>
  <c r="E31" i="4"/>
  <c r="D31" i="4"/>
  <c r="G31" i="4" s="1"/>
  <c r="G30" i="4"/>
  <c r="F30" i="4"/>
  <c r="G29" i="4"/>
  <c r="F29" i="4"/>
  <c r="G28" i="4"/>
  <c r="F28" i="4"/>
  <c r="G27" i="4"/>
  <c r="F27" i="4"/>
  <c r="G26" i="4"/>
  <c r="F26" i="4"/>
  <c r="F25" i="4"/>
  <c r="F24" i="4"/>
  <c r="F23" i="4"/>
  <c r="G22" i="4"/>
  <c r="F22" i="4"/>
  <c r="G21" i="4"/>
  <c r="F21" i="4"/>
  <c r="E20" i="4"/>
  <c r="G20" i="4" s="1"/>
  <c r="D20" i="4"/>
  <c r="G19" i="4"/>
  <c r="F19" i="4"/>
  <c r="G18" i="4"/>
  <c r="F18" i="4"/>
  <c r="G17" i="4"/>
  <c r="F17" i="4"/>
  <c r="G16" i="4"/>
  <c r="F16" i="4"/>
  <c r="G15" i="4"/>
  <c r="F15" i="4"/>
  <c r="F14" i="4"/>
  <c r="F13" i="4"/>
  <c r="F12" i="4"/>
  <c r="G11" i="4"/>
  <c r="F11" i="4"/>
  <c r="G10" i="4"/>
  <c r="F10" i="4"/>
  <c r="G9" i="4"/>
  <c r="F9" i="4"/>
  <c r="E8" i="4"/>
  <c r="G8" i="4" s="1"/>
  <c r="D8" i="4"/>
  <c r="G7" i="4"/>
  <c r="F7" i="4"/>
  <c r="G6" i="4"/>
  <c r="F6" i="4"/>
  <c r="G5" i="4"/>
  <c r="F5" i="4"/>
  <c r="G4" i="4"/>
  <c r="F4" i="4"/>
  <c r="G3" i="4"/>
  <c r="F3" i="4"/>
  <c r="F8" i="4" l="1"/>
  <c r="F20" i="4"/>
  <c r="F31" i="4"/>
</calcChain>
</file>

<file path=xl/sharedStrings.xml><?xml version="1.0" encoding="utf-8"?>
<sst xmlns="http://schemas.openxmlformats.org/spreadsheetml/2006/main" count="62" uniqueCount="30">
  <si>
    <t>业务</t>
  </si>
  <si>
    <t>主指标</t>
  </si>
  <si>
    <t>子指标</t>
  </si>
  <si>
    <t>较上周</t>
  </si>
  <si>
    <t>用户量</t>
  </si>
  <si>
    <t>UV（万）</t>
  </si>
  <si>
    <t>咨询量</t>
  </si>
  <si>
    <t>工单处理</t>
  </si>
  <si>
    <t>客满工单</t>
  </si>
  <si>
    <t>技术工单</t>
  </si>
  <si>
    <t>技术支持解决工单</t>
  </si>
  <si>
    <t>技术支持解决率</t>
  </si>
  <si>
    <t>技术支持两小时工单完成率（内部）</t>
  </si>
  <si>
    <t>技术支持两小时工单完成率（含外部）</t>
  </si>
  <si>
    <r>
      <rPr>
        <b/>
        <sz val="10"/>
        <rFont val="等线"/>
        <family val="4"/>
        <charset val="134"/>
      </rPr>
      <t>两小时工单完成率</t>
    </r>
    <r>
      <rPr>
        <b/>
        <sz val="10"/>
        <color rgb="FFFE0300"/>
        <rFont val="等线"/>
        <family val="4"/>
        <charset val="134"/>
      </rPr>
      <t>（累计）</t>
    </r>
  </si>
  <si>
    <t>线上故障</t>
  </si>
  <si>
    <r>
      <rPr>
        <b/>
        <sz val="10"/>
        <rFont val="等线"/>
        <family val="4"/>
        <charset val="134"/>
      </rPr>
      <t>线上故障P1/P2</t>
    </r>
    <r>
      <rPr>
        <b/>
        <sz val="10"/>
        <color rgb="FFFE0300"/>
        <rFont val="等线"/>
        <family val="4"/>
        <charset val="134"/>
      </rPr>
      <t>（累计）</t>
    </r>
  </si>
  <si>
    <r>
      <rPr>
        <b/>
        <sz val="10"/>
        <rFont val="等线"/>
        <family val="4"/>
        <charset val="134"/>
      </rPr>
      <t>线上故障P3/P4</t>
    </r>
    <r>
      <rPr>
        <b/>
        <sz val="10"/>
        <color rgb="FFFE0300"/>
        <rFont val="等线"/>
        <family val="4"/>
        <charset val="134"/>
      </rPr>
      <t>（累计）</t>
    </r>
  </si>
  <si>
    <r>
      <rPr>
        <b/>
        <sz val="10"/>
        <rFont val="等线"/>
        <family val="4"/>
        <charset val="134"/>
      </rPr>
      <t>外部故障</t>
    </r>
    <r>
      <rPr>
        <b/>
        <sz val="10"/>
        <color rgb="FFFE0300"/>
        <rFont val="等线"/>
        <family val="4"/>
        <charset val="134"/>
      </rPr>
      <t>（累计）</t>
    </r>
  </si>
  <si>
    <t>技术支持两小时工单完成率</t>
  </si>
  <si>
    <r>
      <rPr>
        <b/>
        <sz val="10"/>
        <rFont val="等线"/>
        <family val="4"/>
        <charset val="134"/>
      </rPr>
      <t>工单两小时完成率</t>
    </r>
    <r>
      <rPr>
        <b/>
        <sz val="10"/>
        <color rgb="FFFE0300"/>
        <rFont val="等线"/>
        <family val="4"/>
        <charset val="134"/>
      </rPr>
      <t>（累计）</t>
    </r>
  </si>
  <si>
    <r>
      <rPr>
        <b/>
        <sz val="10"/>
        <rFont val="等线"/>
        <family val="4"/>
        <charset val="134"/>
      </rPr>
      <t>线上故障P1/P2</t>
    </r>
    <r>
      <rPr>
        <b/>
        <sz val="10"/>
        <color rgb="FF000000"/>
        <rFont val="等线"/>
        <family val="4"/>
        <charset val="134"/>
      </rPr>
      <t>（内部）</t>
    </r>
    <r>
      <rPr>
        <b/>
        <sz val="10"/>
        <color rgb="FFFE0300"/>
        <rFont val="等线"/>
        <family val="4"/>
        <charset val="134"/>
      </rPr>
      <t>（累计）</t>
    </r>
  </si>
  <si>
    <r>
      <rPr>
        <b/>
        <sz val="10"/>
        <rFont val="等线"/>
        <family val="4"/>
        <charset val="134"/>
      </rPr>
      <t>线上故障P3/P4</t>
    </r>
    <r>
      <rPr>
        <b/>
        <sz val="10"/>
        <color rgb="FF000000"/>
        <rFont val="等线"/>
        <family val="4"/>
        <charset val="134"/>
      </rPr>
      <t>（内部）</t>
    </r>
    <r>
      <rPr>
        <b/>
        <sz val="10"/>
        <color rgb="FFFE0300"/>
        <rFont val="等线"/>
        <family val="4"/>
        <charset val="134"/>
      </rPr>
      <t>（累计）</t>
    </r>
  </si>
  <si>
    <t>2026W20</t>
  </si>
  <si>
    <t>2026W21</t>
  </si>
  <si>
    <t>数智财务</t>
  </si>
  <si>
    <t>免疫规划</t>
  </si>
  <si>
    <t>数字化支撑</t>
  </si>
  <si>
    <t>电子档案</t>
  </si>
  <si>
    <t>一、简述
1、本周故障情况：
* 数智财务组：P1/P2故障0个，P3/P4故障1个故障； 
* 免疫规划组：P1/P2故障0个，P3/P4故障0个故障 ；
* 数字支撑组：P1/P2故障0个，P3/P4故障0个故障 ；
* 电子档案组：P1/P2故障0个，P3/P4故障0个故障 ；
2、本周工单量情况：
* 数智财务组：客满工单总量114个，技术支持工单处理98个；数据分析：查看附录1
* 免疫规划组：客满工单总量4个，技术支持工单处理4个；数据分析：查看附录2     
* 数字支撑组：客满工单总量17个，技术支持工单处理17个；数据分析：查看附录3   
* 电子档案组：客满工单总量1个，技术支持工单处理1个；数据分析：查看附录1
3、本周两个小时处理率：
* 数智财务组：2小时工单完成率100% 达标; 
* 免疫规划组：2小时工单完成率100% 达标 ; 
* 数字支撑组：2小时工单完成率100% 达标 ; 
* 电子档案组：2小时工单完成率100% 达标 ; 
4、本周TOP问题分析
* 数智财务组：查看附录1
* 免疫规划组：查看附录2
* 数字财务组：查看附录3
* 电子档案组：查看附录1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</si>
</sst>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B14D"/>
      <name val="等线"/>
      <family val="4"/>
      <charset val="134"/>
    </font>
    <font>
      <sz val="10"/>
      <color rgb="FF000000"/>
      <name val="等线"/>
      <family val="4"/>
      <charset val="134"/>
    </font>
    <font>
      <b/>
      <sz val="11"/>
      <name val="等线"/>
      <family val="4"/>
      <charset val="134"/>
    </font>
    <font>
      <sz val="10"/>
      <color rgb="FFFE030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u/>
      <sz val="10"/>
      <color theme="10"/>
      <name val="等线"/>
      <family val="4"/>
      <charset val="134"/>
    </font>
    <font>
      <b/>
      <sz val="10"/>
      <color rgb="FFFE0300"/>
      <name val="等线"/>
      <family val="4"/>
      <charset val="134"/>
    </font>
    <font>
      <b/>
      <sz val="10"/>
      <color rgb="FF00000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F9E5D7"/>
      </patternFill>
    </fill>
    <fill>
      <patternFill patternType="solid">
        <fgColor rgb="FFFEE598"/>
      </patternFill>
    </fill>
    <fill>
      <patternFill patternType="solid">
        <fgColor rgb="FFFFA7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Protection="1">
      <alignment vertical="center"/>
    </xf>
    <xf numFmtId="9" fontId="3" fillId="0" borderId="1" xfId="0" applyNumberFormat="1" applyFont="1" applyBorder="1" applyProtection="1">
      <alignment vertical="center"/>
    </xf>
    <xf numFmtId="0" fontId="3" fillId="0" borderId="1" xfId="0" applyFont="1" applyBorder="1" applyProtection="1">
      <alignment vertical="center"/>
    </xf>
    <xf numFmtId="0" fontId="3" fillId="0" borderId="1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10" fontId="3" fillId="0" borderId="1" xfId="0" applyNumberFormat="1" applyFont="1" applyBorder="1" applyProtection="1">
      <alignment vertical="center"/>
    </xf>
    <xf numFmtId="9" fontId="5" fillId="0" borderId="1" xfId="0" applyNumberFormat="1" applyFont="1" applyBorder="1" applyAlignment="1" applyProtection="1">
      <alignment horizontal="left" vertical="center"/>
    </xf>
    <xf numFmtId="0" fontId="6" fillId="3" borderId="2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2" fillId="4" borderId="1" xfId="0" applyFont="1" applyFill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left" vertical="top"/>
    </xf>
    <xf numFmtId="0" fontId="12" fillId="2" borderId="1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lidocs.dingtalk.com/i/nodes/mExel2BLV542zMbPhxjoBpdNWgk9rpMq?doc_type=wiki_notable&amp;iframeQuery=sheetId%3DufVlK5Z%26viewId%3DzCmRijq" TargetMode="External"/><Relationship Id="rId2" Type="http://schemas.openxmlformats.org/officeDocument/2006/relationships/hyperlink" Target="https://metabase.cai-inc.com/dashboard/514-2024" TargetMode="External"/><Relationship Id="rId1" Type="http://schemas.openxmlformats.org/officeDocument/2006/relationships/hyperlink" Target="https://alidocs.dingtalk.com/i/nodes/NZQYprEoWoe2nQmwFgnA1XmmJ1waOeDk?doc_type=wiki_notable&amp;iframeQuery=sheetId%3Ddv19yqvsgs3oebp3pcjys%26viewId%3Dsvv483egebdyzv464wcxd" TargetMode="External"/><Relationship Id="rId6" Type="http://schemas.openxmlformats.org/officeDocument/2006/relationships/hyperlink" Target="https://metabase.cai-inc.com/dashboard/514-2024" TargetMode="External"/><Relationship Id="rId5" Type="http://schemas.openxmlformats.org/officeDocument/2006/relationships/hyperlink" Target="https://alidocs.dingtalk.com/i/nodes/NZQYprEoWoe2nQmwFgnA1XmmJ1waOeDk?doc_type=wiki_notable&amp;iframeQuery=sheetId%3Ddv19yqvsgs3oebp3pcjys%26viewId%3Dsvv483egebdyzv464wcxd" TargetMode="External"/><Relationship Id="rId4" Type="http://schemas.openxmlformats.org/officeDocument/2006/relationships/hyperlink" Target="https://alidocs.dingtalk.com/i/nodes/kDnRL6jAJM3jGKd7sD2blqvrWyMoPYe1?iframeQuery=sheetId%3DBXnYv2u%26viewId%3DMB4IC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G43"/>
  <sheetViews>
    <sheetView tabSelected="1" workbookViewId="0">
      <selection activeCell="F18" sqref="F18"/>
    </sheetView>
  </sheetViews>
  <sheetFormatPr baseColWidth="10" defaultColWidth="10" defaultRowHeight="16.5" customHeight="1"/>
  <cols>
    <col min="3" max="3" width="31.33203125" customWidth="1"/>
  </cols>
  <sheetData>
    <row r="1" spans="1:7" ht="281" customHeight="1">
      <c r="A1" s="13" t="s">
        <v>29</v>
      </c>
      <c r="B1" s="14"/>
      <c r="C1" s="14"/>
      <c r="D1" s="14"/>
      <c r="E1" s="14"/>
      <c r="F1" s="14"/>
      <c r="G1" s="14"/>
    </row>
    <row r="2" spans="1:7" ht="16.5" customHeight="1">
      <c r="A2" s="9" t="s">
        <v>0</v>
      </c>
      <c r="B2" s="9" t="s">
        <v>1</v>
      </c>
      <c r="C2" s="9" t="s">
        <v>2</v>
      </c>
      <c r="D2" s="10" t="s">
        <v>23</v>
      </c>
      <c r="E2" s="10" t="s">
        <v>24</v>
      </c>
      <c r="F2" s="21" t="s">
        <v>3</v>
      </c>
      <c r="G2" s="22"/>
    </row>
    <row r="3" spans="1:7" ht="16.5" customHeight="1">
      <c r="A3" s="11" t="s">
        <v>25</v>
      </c>
      <c r="B3" s="11" t="s">
        <v>4</v>
      </c>
      <c r="C3" s="1" t="s">
        <v>5</v>
      </c>
      <c r="D3" s="3">
        <v>37.299999999999997</v>
      </c>
      <c r="E3" s="3">
        <v>37.69</v>
      </c>
      <c r="F3" s="5" t="str">
        <f t="shared" ref="F3:F43" si="0">IF(D3-E3=0,"—",IF(E3-D3&gt;0,"▲","▼"))</f>
        <v>▲</v>
      </c>
      <c r="G3" s="8">
        <f t="shared" ref="G3:G11" si="1">IF(E3/D3&gt;1,(E3-D3)/D3,(D3-E3)/D3)</f>
        <v>1.045576407506704E-2</v>
      </c>
    </row>
    <row r="4" spans="1:7" ht="16.5" customHeight="1">
      <c r="A4" s="11"/>
      <c r="B4" s="12"/>
      <c r="C4" s="1" t="s">
        <v>6</v>
      </c>
      <c r="D4" s="3">
        <v>2204</v>
      </c>
      <c r="E4" s="3">
        <v>2191</v>
      </c>
      <c r="F4" s="5" t="str">
        <f t="shared" si="0"/>
        <v>▼</v>
      </c>
      <c r="G4" s="8">
        <f t="shared" si="1"/>
        <v>5.8983666061705993E-3</v>
      </c>
    </row>
    <row r="5" spans="1:7" ht="16.5" customHeight="1">
      <c r="A5" s="12"/>
      <c r="B5" s="19" t="s">
        <v>7</v>
      </c>
      <c r="C5" s="1" t="s">
        <v>8</v>
      </c>
      <c r="D5" s="3">
        <v>109</v>
      </c>
      <c r="E5" s="3">
        <v>114</v>
      </c>
      <c r="F5" s="5" t="str">
        <f t="shared" si="0"/>
        <v>▲</v>
      </c>
      <c r="G5" s="8">
        <f t="shared" si="1"/>
        <v>4.5871559633027525E-2</v>
      </c>
    </row>
    <row r="6" spans="1:7" ht="16.5" customHeight="1">
      <c r="A6" s="12"/>
      <c r="B6" s="11"/>
      <c r="C6" s="1" t="s">
        <v>9</v>
      </c>
      <c r="D6" s="3">
        <v>94</v>
      </c>
      <c r="E6" s="3">
        <v>98</v>
      </c>
      <c r="F6" s="5" t="str">
        <f t="shared" si="0"/>
        <v>▲</v>
      </c>
      <c r="G6" s="8">
        <f t="shared" si="1"/>
        <v>4.2553191489361701E-2</v>
      </c>
    </row>
    <row r="7" spans="1:7" ht="16.5" customHeight="1">
      <c r="A7" s="12"/>
      <c r="B7" s="11"/>
      <c r="C7" s="1" t="s">
        <v>10</v>
      </c>
      <c r="D7" s="4">
        <v>73</v>
      </c>
      <c r="E7" s="4">
        <v>70</v>
      </c>
      <c r="F7" s="5" t="str">
        <f t="shared" si="0"/>
        <v>▼</v>
      </c>
      <c r="G7" s="8">
        <f t="shared" si="1"/>
        <v>4.1095890410958902E-2</v>
      </c>
    </row>
    <row r="8" spans="1:7" ht="16.5" customHeight="1">
      <c r="A8" s="12"/>
      <c r="B8" s="11"/>
      <c r="C8" s="1" t="s">
        <v>11</v>
      </c>
      <c r="D8" s="7">
        <f>IF(D6="",0,(D7)/D6)</f>
        <v>0.77659574468085102</v>
      </c>
      <c r="E8" s="7">
        <f>IF(E6="",0,(E7)/E6)</f>
        <v>0.7142857142857143</v>
      </c>
      <c r="F8" s="5" t="str">
        <f t="shared" si="0"/>
        <v>▼</v>
      </c>
      <c r="G8" s="8">
        <f t="shared" si="1"/>
        <v>8.023483365949112E-2</v>
      </c>
    </row>
    <row r="9" spans="1:7" ht="16.5" customHeight="1">
      <c r="A9" s="12"/>
      <c r="B9" s="11"/>
      <c r="C9" s="1" t="s">
        <v>12</v>
      </c>
      <c r="D9" s="2">
        <v>0.99</v>
      </c>
      <c r="E9" s="2">
        <v>1</v>
      </c>
      <c r="F9" s="6" t="str">
        <f t="shared" si="0"/>
        <v>▲</v>
      </c>
      <c r="G9" s="8">
        <f t="shared" si="1"/>
        <v>1.0101010101010111E-2</v>
      </c>
    </row>
    <row r="10" spans="1:7" ht="16.5" customHeight="1">
      <c r="A10" s="12"/>
      <c r="B10" s="11"/>
      <c r="C10" s="1" t="s">
        <v>13</v>
      </c>
      <c r="D10" s="2">
        <v>0.95</v>
      </c>
      <c r="E10" s="2">
        <v>0.89</v>
      </c>
      <c r="F10" s="6" t="str">
        <f t="shared" si="0"/>
        <v>▼</v>
      </c>
      <c r="G10" s="8">
        <f t="shared" si="1"/>
        <v>6.3157894736842052E-2</v>
      </c>
    </row>
    <row r="11" spans="1:7" ht="16.5" customHeight="1">
      <c r="A11" s="12"/>
      <c r="B11" s="11"/>
      <c r="C11" s="1" t="s">
        <v>14</v>
      </c>
      <c r="D11" s="2">
        <v>0.95</v>
      </c>
      <c r="E11" s="2">
        <v>0.96</v>
      </c>
      <c r="F11" s="6" t="str">
        <f t="shared" si="0"/>
        <v>▲</v>
      </c>
      <c r="G11" s="8">
        <f t="shared" si="1"/>
        <v>1.0526315789473694E-2</v>
      </c>
    </row>
    <row r="12" spans="1:7" ht="16.5" customHeight="1">
      <c r="A12" s="12"/>
      <c r="B12" s="18" t="s">
        <v>15</v>
      </c>
      <c r="C12" s="1" t="s">
        <v>16</v>
      </c>
      <c r="D12" s="4">
        <v>0</v>
      </c>
      <c r="E12" s="4">
        <v>0</v>
      </c>
      <c r="F12" s="6" t="str">
        <f t="shared" si="0"/>
        <v>—</v>
      </c>
      <c r="G12" s="8">
        <v>0</v>
      </c>
    </row>
    <row r="13" spans="1:7" ht="16.5" customHeight="1">
      <c r="A13" s="12"/>
      <c r="B13" s="11"/>
      <c r="C13" s="1" t="s">
        <v>17</v>
      </c>
      <c r="D13" s="4">
        <v>5</v>
      </c>
      <c r="E13" s="4">
        <v>6</v>
      </c>
      <c r="F13" s="5" t="str">
        <f t="shared" si="0"/>
        <v>▲</v>
      </c>
      <c r="G13" s="8">
        <v>0.01</v>
      </c>
    </row>
    <row r="14" spans="1:7" ht="16.5" customHeight="1">
      <c r="A14" s="12"/>
      <c r="B14" s="11"/>
      <c r="C14" s="1" t="s">
        <v>18</v>
      </c>
      <c r="D14" s="4">
        <v>13</v>
      </c>
      <c r="E14" s="4">
        <v>13</v>
      </c>
      <c r="F14" s="5" t="str">
        <f t="shared" si="0"/>
        <v>—</v>
      </c>
      <c r="G14" s="8">
        <v>0.01</v>
      </c>
    </row>
    <row r="15" spans="1:7" ht="16.5" customHeight="1">
      <c r="A15" s="11" t="s">
        <v>26</v>
      </c>
      <c r="B15" s="11" t="s">
        <v>4</v>
      </c>
      <c r="C15" s="1" t="s">
        <v>5</v>
      </c>
      <c r="D15" s="3">
        <v>15.18</v>
      </c>
      <c r="E15" s="3">
        <v>18.46</v>
      </c>
      <c r="F15" s="5" t="str">
        <f t="shared" si="0"/>
        <v>▲</v>
      </c>
      <c r="G15" s="8">
        <f t="shared" ref="G15:G22" si="2">IF(E15/D15&gt;1,(E15-D15)/D15,(D15-E15)/D15)</f>
        <v>0.21607378129117266</v>
      </c>
    </row>
    <row r="16" spans="1:7" ht="16.5" customHeight="1">
      <c r="A16" s="12"/>
      <c r="B16" s="12"/>
      <c r="C16" s="1" t="s">
        <v>6</v>
      </c>
      <c r="D16" s="3">
        <v>236</v>
      </c>
      <c r="E16" s="3">
        <v>217</v>
      </c>
      <c r="F16" s="5" t="str">
        <f t="shared" si="0"/>
        <v>▼</v>
      </c>
      <c r="G16" s="8">
        <f t="shared" si="2"/>
        <v>8.050847457627118E-2</v>
      </c>
    </row>
    <row r="17" spans="1:7" ht="16.5" customHeight="1">
      <c r="A17" s="12"/>
      <c r="B17" s="20" t="s">
        <v>7</v>
      </c>
      <c r="C17" s="1" t="s">
        <v>8</v>
      </c>
      <c r="D17" s="3">
        <v>13</v>
      </c>
      <c r="E17" s="3">
        <v>4</v>
      </c>
      <c r="F17" s="5" t="str">
        <f t="shared" si="0"/>
        <v>▼</v>
      </c>
      <c r="G17" s="8">
        <f t="shared" si="2"/>
        <v>0.69230769230769229</v>
      </c>
    </row>
    <row r="18" spans="1:7" ht="16.5" customHeight="1">
      <c r="A18" s="12"/>
      <c r="B18" s="11"/>
      <c r="C18" s="1" t="s">
        <v>9</v>
      </c>
      <c r="D18" s="3">
        <v>13</v>
      </c>
      <c r="E18" s="3">
        <v>4</v>
      </c>
      <c r="F18" s="5" t="str">
        <f t="shared" si="0"/>
        <v>▼</v>
      </c>
      <c r="G18" s="8">
        <f t="shared" si="2"/>
        <v>0.69230769230769229</v>
      </c>
    </row>
    <row r="19" spans="1:7" ht="16.5" customHeight="1">
      <c r="A19" s="12"/>
      <c r="B19" s="11"/>
      <c r="C19" s="1" t="s">
        <v>10</v>
      </c>
      <c r="D19" s="4">
        <v>4</v>
      </c>
      <c r="E19" s="4">
        <v>2</v>
      </c>
      <c r="F19" s="5" t="str">
        <f t="shared" si="0"/>
        <v>▼</v>
      </c>
      <c r="G19" s="8">
        <f t="shared" si="2"/>
        <v>0.5</v>
      </c>
    </row>
    <row r="20" spans="1:7" ht="16.5" customHeight="1">
      <c r="A20" s="12"/>
      <c r="B20" s="11"/>
      <c r="C20" s="1" t="s">
        <v>11</v>
      </c>
      <c r="D20" s="7">
        <f>IF(D18="",0,(D19)/D18)</f>
        <v>0.30769230769230771</v>
      </c>
      <c r="E20" s="7">
        <f>IF(E18="",0,(E19)/E18)</f>
        <v>0.5</v>
      </c>
      <c r="F20" s="5" t="str">
        <f t="shared" si="0"/>
        <v>▲</v>
      </c>
      <c r="G20" s="8">
        <f t="shared" si="2"/>
        <v>0.62499999999999989</v>
      </c>
    </row>
    <row r="21" spans="1:7" ht="16.5" customHeight="1">
      <c r="A21" s="12"/>
      <c r="B21" s="11"/>
      <c r="C21" s="1" t="s">
        <v>19</v>
      </c>
      <c r="D21" s="2">
        <v>1</v>
      </c>
      <c r="E21" s="2">
        <v>1</v>
      </c>
      <c r="F21" s="5" t="str">
        <f t="shared" si="0"/>
        <v>—</v>
      </c>
      <c r="G21" s="8">
        <f t="shared" si="2"/>
        <v>0</v>
      </c>
    </row>
    <row r="22" spans="1:7" ht="16.5" customHeight="1">
      <c r="A22" s="12"/>
      <c r="B22" s="11"/>
      <c r="C22" s="1" t="s">
        <v>20</v>
      </c>
      <c r="D22" s="2">
        <v>0.9466</v>
      </c>
      <c r="E22" s="2">
        <v>0.9466</v>
      </c>
      <c r="F22" s="5" t="str">
        <f t="shared" si="0"/>
        <v>—</v>
      </c>
      <c r="G22" s="8">
        <f t="shared" si="2"/>
        <v>0</v>
      </c>
    </row>
    <row r="23" spans="1:7" ht="16.5" customHeight="1">
      <c r="A23" s="12"/>
      <c r="B23" s="11" t="s">
        <v>15</v>
      </c>
      <c r="C23" s="1" t="s">
        <v>21</v>
      </c>
      <c r="D23" s="4">
        <v>0</v>
      </c>
      <c r="E23" s="4">
        <v>1</v>
      </c>
      <c r="F23" s="5" t="str">
        <f t="shared" si="0"/>
        <v>▲</v>
      </c>
      <c r="G23" s="8">
        <v>0</v>
      </c>
    </row>
    <row r="24" spans="1:7" ht="16.5" customHeight="1">
      <c r="A24" s="12"/>
      <c r="B24" s="12"/>
      <c r="C24" s="1" t="s">
        <v>22</v>
      </c>
      <c r="D24" s="4">
        <v>4</v>
      </c>
      <c r="E24" s="4">
        <v>4</v>
      </c>
      <c r="F24" s="5" t="str">
        <f t="shared" si="0"/>
        <v>—</v>
      </c>
      <c r="G24" s="8">
        <v>0</v>
      </c>
    </row>
    <row r="25" spans="1:7" ht="16.5" customHeight="1">
      <c r="A25" s="12"/>
      <c r="B25" s="12"/>
      <c r="C25" s="1" t="s">
        <v>18</v>
      </c>
      <c r="D25" s="4">
        <v>2</v>
      </c>
      <c r="E25" s="4">
        <v>2</v>
      </c>
      <c r="F25" s="5" t="str">
        <f t="shared" si="0"/>
        <v>—</v>
      </c>
      <c r="G25" s="8">
        <v>0</v>
      </c>
    </row>
    <row r="26" spans="1:7" ht="16.5" customHeight="1">
      <c r="A26" s="11" t="s">
        <v>27</v>
      </c>
      <c r="B26" s="11" t="s">
        <v>4</v>
      </c>
      <c r="C26" s="1" t="s">
        <v>5</v>
      </c>
      <c r="D26" s="3">
        <v>0.64</v>
      </c>
      <c r="E26" s="3">
        <v>0.81</v>
      </c>
      <c r="F26" s="5" t="str">
        <f t="shared" si="0"/>
        <v>▲</v>
      </c>
      <c r="G26" s="8">
        <f t="shared" ref="G26:G40" si="3">IF(E26/D26&gt;1,(E26-D26)/D26,(D26-E26)/D26)</f>
        <v>0.26562500000000006</v>
      </c>
    </row>
    <row r="27" spans="1:7" ht="16.5" customHeight="1">
      <c r="A27" s="11"/>
      <c r="B27" s="12"/>
      <c r="C27" s="1" t="s">
        <v>6</v>
      </c>
      <c r="D27" s="3">
        <v>394</v>
      </c>
      <c r="E27" s="3">
        <v>577</v>
      </c>
      <c r="F27" s="5" t="str">
        <f t="shared" si="0"/>
        <v>▲</v>
      </c>
      <c r="G27" s="8">
        <f t="shared" si="3"/>
        <v>0.46446700507614214</v>
      </c>
    </row>
    <row r="28" spans="1:7" ht="16.5" customHeight="1">
      <c r="A28" s="11"/>
      <c r="B28" s="17" t="s">
        <v>7</v>
      </c>
      <c r="C28" s="1" t="s">
        <v>8</v>
      </c>
      <c r="D28" s="3">
        <v>13</v>
      </c>
      <c r="E28" s="3">
        <v>17</v>
      </c>
      <c r="F28" s="5" t="str">
        <f t="shared" si="0"/>
        <v>▲</v>
      </c>
      <c r="G28" s="8">
        <f t="shared" si="3"/>
        <v>0.30769230769230771</v>
      </c>
    </row>
    <row r="29" spans="1:7" ht="16.5" customHeight="1">
      <c r="A29" s="12"/>
      <c r="B29" s="12"/>
      <c r="C29" s="1" t="s">
        <v>9</v>
      </c>
      <c r="D29" s="3">
        <v>13</v>
      </c>
      <c r="E29" s="3">
        <v>17</v>
      </c>
      <c r="F29" s="5" t="str">
        <f t="shared" si="0"/>
        <v>▲</v>
      </c>
      <c r="G29" s="8">
        <f t="shared" si="3"/>
        <v>0.30769230769230771</v>
      </c>
    </row>
    <row r="30" spans="1:7" ht="16.5" customHeight="1">
      <c r="A30" s="12"/>
      <c r="B30" s="12"/>
      <c r="C30" s="1" t="s">
        <v>10</v>
      </c>
      <c r="D30" s="3">
        <v>5</v>
      </c>
      <c r="E30" s="3">
        <v>12</v>
      </c>
      <c r="F30" s="5" t="str">
        <f t="shared" si="0"/>
        <v>▲</v>
      </c>
      <c r="G30" s="8">
        <f t="shared" si="3"/>
        <v>1.4</v>
      </c>
    </row>
    <row r="31" spans="1:7" ht="16.5" customHeight="1">
      <c r="A31" s="12"/>
      <c r="B31" s="12"/>
      <c r="C31" s="1" t="s">
        <v>11</v>
      </c>
      <c r="D31" s="7">
        <f>IF(D29="",0,(D30)/D29)</f>
        <v>0.38461538461538464</v>
      </c>
      <c r="E31" s="7">
        <f>IF(E29="",0,(E30)/E29)</f>
        <v>0.70588235294117652</v>
      </c>
      <c r="F31" s="5" t="str">
        <f t="shared" si="0"/>
        <v>▲</v>
      </c>
      <c r="G31" s="8">
        <f t="shared" si="3"/>
        <v>0.83529411764705885</v>
      </c>
    </row>
    <row r="32" spans="1:7" ht="16.5" customHeight="1">
      <c r="A32" s="12"/>
      <c r="B32" s="12"/>
      <c r="C32" s="1" t="s">
        <v>19</v>
      </c>
      <c r="D32" s="7">
        <v>1</v>
      </c>
      <c r="E32" s="7">
        <v>1</v>
      </c>
      <c r="F32" s="5" t="str">
        <f t="shared" si="0"/>
        <v>—</v>
      </c>
      <c r="G32" s="8">
        <f t="shared" si="3"/>
        <v>0</v>
      </c>
    </row>
    <row r="33" spans="1:7" ht="16.5" customHeight="1">
      <c r="A33" s="12"/>
      <c r="B33" s="12"/>
      <c r="C33" s="1" t="s">
        <v>20</v>
      </c>
      <c r="D33" s="7">
        <v>0.95</v>
      </c>
      <c r="E33" s="7">
        <v>0.95</v>
      </c>
      <c r="F33" s="5" t="str">
        <f t="shared" si="0"/>
        <v>—</v>
      </c>
      <c r="G33" s="8">
        <f t="shared" si="3"/>
        <v>0</v>
      </c>
    </row>
    <row r="34" spans="1:7" ht="16.5" customHeight="1">
      <c r="A34" s="11" t="s">
        <v>28</v>
      </c>
      <c r="B34" s="15" t="s">
        <v>7</v>
      </c>
      <c r="C34" s="1" t="s">
        <v>8</v>
      </c>
      <c r="D34" s="3">
        <v>1</v>
      </c>
      <c r="E34" s="3">
        <v>1</v>
      </c>
      <c r="F34" s="5" t="str">
        <f t="shared" si="0"/>
        <v>—</v>
      </c>
      <c r="G34" s="8">
        <f t="shared" si="3"/>
        <v>0</v>
      </c>
    </row>
    <row r="35" spans="1:7" ht="16.5" customHeight="1">
      <c r="A35" s="12"/>
      <c r="B35" s="11"/>
      <c r="C35" s="1" t="s">
        <v>9</v>
      </c>
      <c r="D35" s="3">
        <v>1</v>
      </c>
      <c r="E35" s="3">
        <v>1</v>
      </c>
      <c r="F35" s="5" t="str">
        <f t="shared" si="0"/>
        <v>—</v>
      </c>
      <c r="G35" s="8">
        <f t="shared" si="3"/>
        <v>0</v>
      </c>
    </row>
    <row r="36" spans="1:7" ht="16.5" customHeight="1">
      <c r="A36" s="12"/>
      <c r="B36" s="11"/>
      <c r="C36" s="1" t="s">
        <v>10</v>
      </c>
      <c r="D36" s="4">
        <v>0</v>
      </c>
      <c r="E36" s="4">
        <v>0</v>
      </c>
      <c r="F36" s="6" t="str">
        <f t="shared" si="0"/>
        <v>—</v>
      </c>
      <c r="G36" s="8" t="e">
        <f t="shared" si="3"/>
        <v>#DIV/0!</v>
      </c>
    </row>
    <row r="37" spans="1:7" ht="16.5" customHeight="1">
      <c r="A37" s="12"/>
      <c r="B37" s="11"/>
      <c r="C37" s="1" t="s">
        <v>11</v>
      </c>
      <c r="D37" s="7">
        <f>IF(D35="",0,(D36)/D35)</f>
        <v>0</v>
      </c>
      <c r="E37" s="7">
        <f>IF(E35="",0,(E36)/E35)</f>
        <v>0</v>
      </c>
      <c r="F37" s="6" t="str">
        <f t="shared" si="0"/>
        <v>—</v>
      </c>
      <c r="G37" s="8" t="e">
        <f t="shared" si="3"/>
        <v>#DIV/0!</v>
      </c>
    </row>
    <row r="38" spans="1:7" ht="16.5" customHeight="1">
      <c r="A38" s="12"/>
      <c r="B38" s="11"/>
      <c r="C38" s="1" t="s">
        <v>12</v>
      </c>
      <c r="D38" s="2">
        <v>1</v>
      </c>
      <c r="E38" s="2">
        <v>1</v>
      </c>
      <c r="F38" s="6" t="str">
        <f t="shared" si="0"/>
        <v>—</v>
      </c>
      <c r="G38" s="8">
        <f t="shared" si="3"/>
        <v>0</v>
      </c>
    </row>
    <row r="39" spans="1:7" ht="16.5" customHeight="1">
      <c r="A39" s="12"/>
      <c r="B39" s="11"/>
      <c r="C39" s="1" t="s">
        <v>13</v>
      </c>
      <c r="D39" s="2">
        <v>1</v>
      </c>
      <c r="E39" s="2">
        <v>1</v>
      </c>
      <c r="F39" s="5" t="str">
        <f t="shared" si="0"/>
        <v>—</v>
      </c>
      <c r="G39" s="8">
        <f t="shared" si="3"/>
        <v>0</v>
      </c>
    </row>
    <row r="40" spans="1:7" ht="16.5" customHeight="1">
      <c r="A40" s="12"/>
      <c r="B40" s="11"/>
      <c r="C40" s="1" t="s">
        <v>14</v>
      </c>
      <c r="D40" s="2">
        <v>0.93</v>
      </c>
      <c r="E40" s="2">
        <v>0.93</v>
      </c>
      <c r="F40" s="5" t="str">
        <f t="shared" si="0"/>
        <v>—</v>
      </c>
      <c r="G40" s="8">
        <f t="shared" si="3"/>
        <v>0</v>
      </c>
    </row>
    <row r="41" spans="1:7" ht="16.5" customHeight="1">
      <c r="A41" s="12"/>
      <c r="B41" s="16" t="s">
        <v>15</v>
      </c>
      <c r="C41" s="1" t="s">
        <v>16</v>
      </c>
      <c r="D41" s="4">
        <v>0</v>
      </c>
      <c r="E41" s="4">
        <v>0</v>
      </c>
      <c r="F41" s="6" t="str">
        <f t="shared" si="0"/>
        <v>—</v>
      </c>
      <c r="G41" s="8">
        <f>IF(E41=0,0,IF(E41/D41&gt;1,(E41-D41)/D41,(D41-E41)/D41))</f>
        <v>0</v>
      </c>
    </row>
    <row r="42" spans="1:7" ht="16.5" customHeight="1">
      <c r="A42" s="12"/>
      <c r="B42" s="11"/>
      <c r="C42" s="1" t="s">
        <v>17</v>
      </c>
      <c r="D42" s="4">
        <v>0</v>
      </c>
      <c r="E42" s="4">
        <v>0</v>
      </c>
      <c r="F42" s="5" t="str">
        <f t="shared" si="0"/>
        <v>—</v>
      </c>
      <c r="G42" s="8">
        <v>0</v>
      </c>
    </row>
    <row r="43" spans="1:7" ht="16.5" customHeight="1">
      <c r="A43" s="12"/>
      <c r="B43" s="11"/>
      <c r="C43" s="1" t="s">
        <v>18</v>
      </c>
      <c r="D43" s="4">
        <v>0</v>
      </c>
      <c r="E43" s="4">
        <v>0</v>
      </c>
      <c r="F43" s="5" t="str">
        <f t="shared" si="0"/>
        <v>—</v>
      </c>
      <c r="G43" s="8">
        <v>0</v>
      </c>
    </row>
  </sheetData>
  <mergeCells count="16">
    <mergeCell ref="A26:A33"/>
    <mergeCell ref="A1:G1"/>
    <mergeCell ref="B34:B40"/>
    <mergeCell ref="B41:B43"/>
    <mergeCell ref="B26:B27"/>
    <mergeCell ref="B28:B33"/>
    <mergeCell ref="A34:A43"/>
    <mergeCell ref="B12:B14"/>
    <mergeCell ref="B5:B11"/>
    <mergeCell ref="B17:B22"/>
    <mergeCell ref="F2:G2"/>
    <mergeCell ref="A3:A14"/>
    <mergeCell ref="B3:B4"/>
    <mergeCell ref="B15:B16"/>
    <mergeCell ref="A15:A25"/>
    <mergeCell ref="B23:B25"/>
  </mergeCells>
  <phoneticPr fontId="1" type="noConversion"/>
  <hyperlinks>
    <hyperlink ref="B5" r:id="rId1" xr:uid="{00000000-0004-0000-0300-000000000000}"/>
    <hyperlink ref="B12" r:id="rId2" xr:uid="{00000000-0004-0000-0300-000001000000}"/>
    <hyperlink ref="B17" r:id="rId3" xr:uid="{00000000-0004-0000-0300-000002000000}"/>
    <hyperlink ref="B28" r:id="rId4" xr:uid="{00000000-0004-0000-0300-000003000000}"/>
    <hyperlink ref="B34" r:id="rId5" xr:uid="{00000000-0004-0000-0300-000004000000}"/>
    <hyperlink ref="B41" r:id="rId6" xr:uid="{00000000-0004-0000-03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Microsoft Office User</cp:lastModifiedBy>
  <dcterms:created xsi:type="dcterms:W3CDTF">2006-09-16T00:00:00Z</dcterms:created>
  <dcterms:modified xsi:type="dcterms:W3CDTF">2026-06-03T14:22:47Z</dcterms:modified>
</cp:coreProperties>
</file>